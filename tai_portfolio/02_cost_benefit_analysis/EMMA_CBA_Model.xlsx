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BA Model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0 workers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9"/>
    </font>
    <font>
      <b val="1"/>
      <color rgb="00FFFFFF"/>
      <sz val="11"/>
    </font>
    <font>
      <sz val="10"/>
    </font>
    <font>
      <b val="1"/>
      <color rgb="000000FF"/>
      <sz val="10"/>
    </font>
    <font>
      <i val="1"/>
      <color rgb="00888888"/>
      <sz val="9"/>
    </font>
    <font>
      <b val="1"/>
      <color rgb="00FFFFFF"/>
      <sz val="13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000000"/>
      <sz val="10"/>
    </font>
    <font>
      <sz val="11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pivotButton="0" quotePrefix="0" xfId="0"/>
    <xf numFmtId="164" fontId="5" fillId="6" borderId="1" applyAlignment="1" pivotButton="0" quotePrefix="0" xfId="0">
      <alignment horizontal="right"/>
    </xf>
    <xf numFmtId="0" fontId="6" fillId="0" borderId="1" pivotButton="0" quotePrefix="0" xfId="0"/>
    <xf numFmtId="0" fontId="4" fillId="7" borderId="1" pivotButton="0" quotePrefix="0" xfId="0"/>
    <xf numFmtId="0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7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indent="1"/>
    </xf>
    <xf numFmtId="0" fontId="3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indent="1"/>
    </xf>
    <xf numFmtId="0" fontId="4" fillId="3" borderId="1" applyAlignment="1" pivotButton="0" quotePrefix="0" xfId="0">
      <alignment indent="1"/>
    </xf>
    <xf numFmtId="164" fontId="9" fillId="3" borderId="1" applyAlignment="1" pivotButton="0" quotePrefix="0" xfId="0">
      <alignment horizontal="right"/>
    </xf>
    <xf numFmtId="0" fontId="4" fillId="7" borderId="1" applyAlignment="1" pivotButton="0" quotePrefix="0" xfId="0">
      <alignment indent="1"/>
    </xf>
    <xf numFmtId="164" fontId="9" fillId="7" borderId="1" applyAlignment="1" pivotButton="0" quotePrefix="0" xfId="0">
      <alignment horizontal="right"/>
    </xf>
    <xf numFmtId="0" fontId="10" fillId="5" borderId="1" applyAlignment="1" pivotButton="0" quotePrefix="0" xfId="0">
      <alignment indent="1"/>
    </xf>
    <xf numFmtId="164" fontId="11" fillId="8" borderId="1" applyAlignment="1" pivotButton="0" quotePrefix="0" xfId="0">
      <alignment horizontal="right"/>
    </xf>
    <xf numFmtId="165" fontId="11" fillId="8" borderId="1" applyAlignment="1" pivotButton="0" quotePrefix="0" xfId="0">
      <alignment horizontal="right"/>
    </xf>
    <xf numFmtId="0" fontId="12" fillId="5" borderId="1" pivotButton="0" quotePrefix="0" xfId="0"/>
    <xf numFmtId="164" fontId="13" fillId="8" borderId="1" applyAlignment="1" pivotButton="0" quotePrefix="0" xfId="0">
      <alignment horizontal="center"/>
    </xf>
    <xf numFmtId="0" fontId="12" fillId="7" borderId="1" pivotButton="0" quotePrefix="0" xfId="0"/>
    <xf numFmtId="166" fontId="13" fillId="8" borderId="1" applyAlignment="1" pivotButton="0" quotePrefix="0" xfId="0">
      <alignment horizontal="center"/>
    </xf>
    <xf numFmtId="165" fontId="13" fillId="8" borderId="1" applyAlignment="1" pivotButton="0" quotePrefix="0" xfId="0">
      <alignment horizontal="center"/>
    </xf>
    <xf numFmtId="167" fontId="1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</cols>
  <sheetData>
    <row r="1" ht="28" customHeight="1">
      <c r="A1" s="1" t="inlineStr">
        <is>
          <t>EMMA™ System – Cost-Benefit Analysis</t>
        </is>
      </c>
    </row>
    <row r="2" ht="16" customHeight="1">
      <c r="A2" s="2" t="inlineStr">
        <is>
          <t>Customer: Aerospace MRO Facility  |  Prepared by: Yadnesh Deshpande  |  Date: April 2026</t>
        </is>
      </c>
    </row>
    <row r="4" ht="20" customHeight="1">
      <c r="A4" s="3" t="inlineStr">
        <is>
          <t>INVESTMENT</t>
        </is>
      </c>
    </row>
    <row r="5" ht="17" customHeight="1">
      <c r="A5" s="4" t="inlineStr">
        <is>
          <t>EMMA System Purchase Price ($)</t>
        </is>
      </c>
      <c r="B5" s="5" t="n">
        <v>350000</v>
      </c>
      <c r="C5" s="6" t="inlineStr">
        <is>
          <t>← Input (blue = editable)</t>
        </is>
      </c>
    </row>
    <row r="6" ht="17" customHeight="1">
      <c r="A6" s="7" t="inlineStr">
        <is>
          <t>Installation &amp; Setup ($)</t>
        </is>
      </c>
      <c r="B6" s="5" t="n">
        <v>12000</v>
      </c>
      <c r="C6" s="6" t="inlineStr">
        <is>
          <t>← Input (blue = editable)</t>
        </is>
      </c>
    </row>
    <row r="7" ht="17" customHeight="1">
      <c r="A7" s="4" t="inlineStr">
        <is>
          <t>Training ($)</t>
        </is>
      </c>
      <c r="B7" s="5" t="n">
        <v>8000</v>
      </c>
      <c r="C7" s="6" t="inlineStr">
        <is>
          <t>← Input (blue = editable)</t>
        </is>
      </c>
    </row>
    <row r="8" ht="17" customHeight="1">
      <c r="A8" s="7" t="inlineStr">
        <is>
          <t>Annual Maintenance ($)</t>
        </is>
      </c>
      <c r="B8" s="5" t="n">
        <v>18000</v>
      </c>
      <c r="C8" s="6" t="inlineStr">
        <is>
          <t>← Input (blue = editable)</t>
        </is>
      </c>
    </row>
    <row r="9" ht="17" customHeight="1">
      <c r="A9" s="4" t="inlineStr">
        <is>
          <t>Consumables per Year ($)</t>
        </is>
      </c>
      <c r="B9" s="5" t="n">
        <v>6500</v>
      </c>
      <c r="C9" s="6" t="inlineStr">
        <is>
          <t>← Input (blue = editable)</t>
        </is>
      </c>
    </row>
    <row r="11" ht="20" customHeight="1">
      <c r="A11" s="3" t="inlineStr">
        <is>
          <t>CURRENT STATE (Manual)</t>
        </is>
      </c>
    </row>
    <row r="12" ht="17" customHeight="1">
      <c r="A12" s="4" t="inlineStr">
        <is>
          <t>Number of Manual Sanding Workers</t>
        </is>
      </c>
      <c r="B12" s="8" t="n">
        <v>6</v>
      </c>
      <c r="C12" s="6" t="inlineStr">
        <is>
          <t>← Input (blue = editable)</t>
        </is>
      </c>
    </row>
    <row r="13" ht="17" customHeight="1">
      <c r="A13" s="7" t="inlineStr">
        <is>
          <t>Average Worker Hourly Rate ($/hr)</t>
        </is>
      </c>
      <c r="B13" s="8" t="n">
        <v>28</v>
      </c>
      <c r="C13" s="6" t="inlineStr">
        <is>
          <t>← Input (blue = editable)</t>
        </is>
      </c>
    </row>
    <row r="14" ht="17" customHeight="1">
      <c r="A14" s="4" t="inlineStr">
        <is>
          <t>Hours Worked per Day</t>
        </is>
      </c>
      <c r="B14" s="8" t="n">
        <v>8</v>
      </c>
      <c r="C14" s="6" t="inlineStr">
        <is>
          <t>← Input (blue = editable)</t>
        </is>
      </c>
    </row>
    <row r="15" ht="17" customHeight="1">
      <c r="A15" s="7" t="inlineStr">
        <is>
          <t>Working Days per Year</t>
        </is>
      </c>
      <c r="B15" s="5" t="n">
        <v>250</v>
      </c>
      <c r="C15" s="6" t="inlineStr">
        <is>
          <t>← Input (blue = editable)</t>
        </is>
      </c>
    </row>
    <row r="16" ht="17" customHeight="1">
      <c r="A16" s="4" t="inlineStr">
        <is>
          <t>Rework Rate (% of jobs)</t>
        </is>
      </c>
      <c r="B16" s="9" t="n">
        <v>0.12</v>
      </c>
      <c r="C16" s="6" t="inlineStr">
        <is>
          <t>← Input (blue = editable)</t>
        </is>
      </c>
    </row>
    <row r="17" ht="17" customHeight="1">
      <c r="A17" s="7" t="inlineStr">
        <is>
          <t>Average Rework Cost per Job ($)</t>
        </is>
      </c>
      <c r="B17" s="5" t="n">
        <v>420</v>
      </c>
      <c r="C17" s="6" t="inlineStr">
        <is>
          <t>← Input (blue = editable)</t>
        </is>
      </c>
    </row>
    <row r="18" ht="17" customHeight="1">
      <c r="A18" s="4" t="inlineStr">
        <is>
          <t>Jobs per Year</t>
        </is>
      </c>
      <c r="B18" s="5" t="n">
        <v>800</v>
      </c>
      <c r="C18" s="6" t="inlineStr">
        <is>
          <t>← Input (blue = editable)</t>
        </is>
      </c>
    </row>
    <row r="19" ht="17" customHeight="1">
      <c r="A19" s="7" t="inlineStr">
        <is>
          <t>Worker Injury Rate (incidents/yr)</t>
        </is>
      </c>
      <c r="B19" s="8" t="n">
        <v>2</v>
      </c>
      <c r="C19" s="6" t="inlineStr">
        <is>
          <t>← Input (blue = editable)</t>
        </is>
      </c>
    </row>
    <row r="20" ht="17" customHeight="1">
      <c r="A20" s="4" t="inlineStr">
        <is>
          <t>Average Injury Cost ($)</t>
        </is>
      </c>
      <c r="B20" s="5" t="n">
        <v>15000</v>
      </c>
      <c r="C20" s="6" t="inlineStr">
        <is>
          <t>← Input (blue = editable)</t>
        </is>
      </c>
    </row>
    <row r="21" ht="20" customHeight="1">
      <c r="A21" s="3" t="inlineStr">
        <is>
          <t>EMMA PERFORMANCE</t>
        </is>
      </c>
    </row>
    <row r="22" ht="17" customHeight="1">
      <c r="A22" s="4" t="inlineStr">
        <is>
          <t>EMMA Throughput vs Manual (%)</t>
        </is>
      </c>
      <c r="B22" s="8" t="n">
        <v>2.3</v>
      </c>
      <c r="C22" s="6" t="inlineStr">
        <is>
          <t>← Input (blue = editable)</t>
        </is>
      </c>
    </row>
    <row r="23" ht="17" customHeight="1">
      <c r="A23" s="7" t="inlineStr">
        <is>
          <t>EMMA Rework Rate (%)</t>
        </is>
      </c>
      <c r="B23" s="9" t="n">
        <v>0.02</v>
      </c>
      <c r="C23" s="6" t="inlineStr">
        <is>
          <t>← Input (blue = editable)</t>
        </is>
      </c>
    </row>
    <row r="24" ht="17" customHeight="1">
      <c r="A24" s="4" t="inlineStr">
        <is>
          <t>EMMA Operator Headcount (from 6 to)</t>
        </is>
      </c>
      <c r="B24" s="8" t="n">
        <v>1</v>
      </c>
      <c r="C24" s="6" t="inlineStr">
        <is>
          <t>← Input (blue = editable)</t>
        </is>
      </c>
    </row>
    <row r="25" ht="17" customHeight="1">
      <c r="A25" s="7" t="inlineStr">
        <is>
          <t>EMMA Uptime (%)</t>
        </is>
      </c>
      <c r="B25" s="9" t="n">
        <v>0.95</v>
      </c>
      <c r="C25" s="6" t="inlineStr">
        <is>
          <t>← Input (blue = editable)</t>
        </is>
      </c>
    </row>
  </sheetData>
  <mergeCells count="5">
    <mergeCell ref="A11:C11"/>
    <mergeCell ref="A1:C1"/>
    <mergeCell ref="A21:C2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0" t="inlineStr">
        <is>
          <t>EMMA™ Cost-Benefit Analysis – 5-Year Projection</t>
        </is>
      </c>
    </row>
    <row r="2" ht="18" customHeight="1">
      <c r="A2" s="11" t="inlineStr">
        <is>
          <t>Item</t>
        </is>
      </c>
      <c r="B2" s="12" t="inlineStr">
        <is>
          <t>Year 1</t>
        </is>
      </c>
      <c r="C2" s="12" t="inlineStr">
        <is>
          <t>Year 2</t>
        </is>
      </c>
      <c r="D2" s="12" t="inlineStr">
        <is>
          <t>Year 3</t>
        </is>
      </c>
      <c r="E2" s="12" t="inlineStr">
        <is>
          <t>Year 4</t>
        </is>
      </c>
      <c r="F2" s="12" t="inlineStr">
        <is>
          <t>Year 5</t>
        </is>
      </c>
    </row>
    <row r="3" ht="18" customHeight="1">
      <c r="A3" s="13" t="inlineStr">
        <is>
          <t>COSTS</t>
        </is>
      </c>
    </row>
    <row r="4" ht="18" customHeight="1">
      <c r="A4" s="14" t="inlineStr">
        <is>
          <t>System Purchase</t>
        </is>
      </c>
      <c r="B4" s="15">
        <f>Assumptions!B5</f>
        <v/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</row>
    <row r="5" ht="18" customHeight="1">
      <c r="A5" s="16" t="inlineStr">
        <is>
          <t>Installation &amp; Setup</t>
        </is>
      </c>
      <c r="B5" s="17">
        <f>Assumptions!B6</f>
        <v/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</row>
    <row r="6" ht="18" customHeight="1">
      <c r="A6" s="14" t="inlineStr">
        <is>
          <t>Training</t>
        </is>
      </c>
      <c r="B6" s="15">
        <f>Assumptions!B7</f>
        <v/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</row>
    <row r="7" ht="18" customHeight="1">
      <c r="A7" s="16" t="inlineStr">
        <is>
          <t>Annual Maintenance</t>
        </is>
      </c>
      <c r="B7" s="17">
        <f>Assumptions!B8</f>
        <v/>
      </c>
      <c r="C7" s="17">
        <f>Assumptions!B8</f>
        <v/>
      </c>
      <c r="D7" s="17">
        <f>Assumptions!B8</f>
        <v/>
      </c>
      <c r="E7" s="17">
        <f>Assumptions!B8</f>
        <v/>
      </c>
      <c r="F7" s="17">
        <f>Assumptions!B8</f>
        <v/>
      </c>
    </row>
    <row r="8" ht="18" customHeight="1">
      <c r="A8" s="14" t="inlineStr">
        <is>
          <t>Consumables</t>
        </is>
      </c>
      <c r="B8" s="15">
        <f>Assumptions!B9</f>
        <v/>
      </c>
      <c r="C8" s="15">
        <f>Assumptions!B9</f>
        <v/>
      </c>
      <c r="D8" s="15">
        <f>Assumptions!B9</f>
        <v/>
      </c>
      <c r="E8" s="15">
        <f>Assumptions!B9</f>
        <v/>
      </c>
      <c r="F8" s="15">
        <f>Assumptions!B9</f>
        <v/>
      </c>
    </row>
    <row r="9" ht="18" customHeight="1">
      <c r="A9" s="18" t="inlineStr">
        <is>
          <t>Total Annual Cost</t>
        </is>
      </c>
      <c r="B9" s="19">
        <f>SUM(B4:B8)</f>
        <v/>
      </c>
      <c r="C9" s="19">
        <f>SUM(C4:C8)</f>
        <v/>
      </c>
      <c r="D9" s="19">
        <f>SUM(D4:D8)</f>
        <v/>
      </c>
      <c r="E9" s="19">
        <f>SUM(E4:E8)</f>
        <v/>
      </c>
      <c r="F9" s="19">
        <f>SUM(F4:F8)</f>
        <v/>
      </c>
    </row>
    <row r="10" ht="18" customHeight="1">
      <c r="A10" s="13" t="inlineStr">
        <is>
          <t>SAVINGS</t>
        </is>
      </c>
    </row>
    <row r="11" ht="18" customHeight="1">
      <c r="A11" s="16" t="inlineStr">
        <is>
          <t>Labor Savings</t>
        </is>
      </c>
      <c r="B11" s="17">
        <f>(Assumptions!B12-Assumptions!B23)*Assumptions!B13*Assumptions!B14*Assumptions!B15</f>
        <v/>
      </c>
      <c r="C11" s="17">
        <f>(Assumptions!B12-Assumptions!B23)*Assumptions!B13*Assumptions!B14*Assumptions!B15</f>
        <v/>
      </c>
      <c r="D11" s="17">
        <f>(Assumptions!B12-Assumptions!B23)*Assumptions!B13*Assumptions!B14*Assumptions!B15</f>
        <v/>
      </c>
      <c r="E11" s="17">
        <f>(Assumptions!B12-Assumptions!B23)*Assumptions!B13*Assumptions!B14*Assumptions!B15</f>
        <v/>
      </c>
      <c r="F11" s="17">
        <f>(Assumptions!B12-Assumptions!B23)*Assumptions!B13*Assumptions!B14*Assumptions!B15</f>
        <v/>
      </c>
    </row>
    <row r="12" ht="18" customHeight="1">
      <c r="A12" s="14" t="inlineStr">
        <is>
          <t>Rework Cost Reduction</t>
        </is>
      </c>
      <c r="B12" s="15">
        <f>(Assumptions!B16-Assumptions!B24)*Assumptions!B17*Assumptions!B18</f>
        <v/>
      </c>
      <c r="C12" s="15">
        <f>(Assumptions!B16-Assumptions!B24)*Assumptions!B17*Assumptions!B18</f>
        <v/>
      </c>
      <c r="D12" s="15">
        <f>(Assumptions!B16-Assumptions!B24)*Assumptions!B17*Assumptions!B18</f>
        <v/>
      </c>
      <c r="E12" s="15">
        <f>(Assumptions!B16-Assumptions!B24)*Assumptions!B17*Assumptions!B18</f>
        <v/>
      </c>
      <c r="F12" s="15">
        <f>(Assumptions!B16-Assumptions!B24)*Assumptions!B17*Assumptions!B18</f>
        <v/>
      </c>
    </row>
    <row r="13" ht="18" customHeight="1">
      <c r="A13" s="16" t="inlineStr">
        <is>
          <t>Injury Cost Avoided</t>
        </is>
      </c>
      <c r="B13" s="17">
        <f>Assumptions!B19*Assumptions!B20</f>
        <v/>
      </c>
      <c r="C13" s="17">
        <f>Assumptions!B19*Assumptions!B20</f>
        <v/>
      </c>
      <c r="D13" s="17">
        <f>Assumptions!B19*Assumptions!B20</f>
        <v/>
      </c>
      <c r="E13" s="17">
        <f>Assumptions!B19*Assumptions!B20</f>
        <v/>
      </c>
      <c r="F13" s="17">
        <f>Assumptions!B19*Assumptions!B20</f>
        <v/>
      </c>
    </row>
    <row r="14" ht="18" customHeight="1">
      <c r="A14" s="18" t="inlineStr">
        <is>
          <t>Total Annual Savings</t>
        </is>
      </c>
      <c r="B14" s="19">
        <f>SUM(B10:B12)</f>
        <v/>
      </c>
      <c r="C14" s="19">
        <f>SUM(C10:C12)</f>
        <v/>
      </c>
      <c r="D14" s="19">
        <f>SUM(D10:D12)</f>
        <v/>
      </c>
      <c r="E14" s="19">
        <f>SUM(E10:E12)</f>
        <v/>
      </c>
      <c r="F14" s="19">
        <f>SUM(F10:F12)</f>
        <v/>
      </c>
    </row>
    <row r="15" ht="18" customHeight="1">
      <c r="A15" s="13" t="inlineStr">
        <is>
          <t>NET BENEFIT</t>
        </is>
      </c>
    </row>
    <row r="16" ht="18" customHeight="1">
      <c r="A16" s="18" t="inlineStr">
        <is>
          <t>Net Benefit (Savings–Cost)</t>
        </is>
      </c>
      <c r="B16" s="19">
        <f>B13-B9</f>
        <v/>
      </c>
      <c r="C16" s="19">
        <f>C13-C9</f>
        <v/>
      </c>
      <c r="D16" s="19">
        <f>D13-D9</f>
        <v/>
      </c>
      <c r="E16" s="19">
        <f>E13-E9</f>
        <v/>
      </c>
      <c r="F16" s="19">
        <f>F13-F9</f>
        <v/>
      </c>
    </row>
    <row r="17" ht="18" customHeight="1">
      <c r="A17" s="18" t="inlineStr">
        <is>
          <t>Cumulative Net Benefit</t>
        </is>
      </c>
      <c r="B17" s="19">
        <f>B15</f>
        <v/>
      </c>
      <c r="C17" s="19">
        <f>B15+C15</f>
        <v/>
      </c>
      <c r="D17" s="19">
        <f>B15+C15+D15</f>
        <v/>
      </c>
      <c r="E17" s="19">
        <f>B15+C15+D15+E15</f>
        <v/>
      </c>
      <c r="F17" s="19">
        <f>B15+C15+D15+E15+F15</f>
        <v/>
      </c>
    </row>
    <row r="18" ht="18" customHeight="1">
      <c r="A18" s="18" t="inlineStr">
        <is>
          <t>ROI (%)</t>
        </is>
      </c>
      <c r="B18" s="20">
        <f>B13/B9</f>
        <v/>
      </c>
      <c r="C18" s="20">
        <f>C13/C9</f>
        <v/>
      </c>
      <c r="D18" s="20">
        <f>D13/D9</f>
        <v/>
      </c>
      <c r="E18" s="20">
        <f>E13/E9</f>
        <v/>
      </c>
      <c r="F18" s="20">
        <f>F13/F9</f>
        <v/>
      </c>
    </row>
  </sheetData>
  <mergeCells count="4">
    <mergeCell ref="A3:G3"/>
    <mergeCell ref="A1:G1"/>
    <mergeCell ref="A10:G10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 ht="26" customHeight="1">
      <c r="A1" s="10" t="inlineStr">
        <is>
          <t>EMMA™ Investment – Executive Summary</t>
        </is>
      </c>
    </row>
    <row r="3" ht="22" customHeight="1">
      <c r="A3" s="21" t="inlineStr">
        <is>
          <t>Total 5-Year Investment</t>
        </is>
      </c>
      <c r="B3" s="22">
        <f>'CBA Model'!B9+'CBA Model'!C9+'CBA Model'!D9+'CBA Model'!E9+'CBA Model'!F9</f>
        <v/>
      </c>
    </row>
    <row r="4" ht="22" customHeight="1">
      <c r="A4" s="23" t="inlineStr">
        <is>
          <t>Total 5-Year Savings</t>
        </is>
      </c>
      <c r="B4" s="22">
        <f>'CBA Model'!B13+'CBA Model'!C13+'CBA Model'!D13+'CBA Model'!E13+'CBA Model'!F13</f>
        <v/>
      </c>
    </row>
    <row r="5" ht="22" customHeight="1">
      <c r="A5" s="21" t="inlineStr">
        <is>
          <t>5-Year Net Benefit</t>
        </is>
      </c>
      <c r="B5" s="22">
        <f>'CBA Model'!F16</f>
        <v/>
      </c>
    </row>
    <row r="6" ht="22" customHeight="1">
      <c r="A6" s="23" t="inlineStr">
        <is>
          <t>Payback Period (approx yrs)</t>
        </is>
      </c>
      <c r="B6" s="24">
        <f>('CBA Model'!B9)/('CBA Model'!B13)</f>
        <v/>
      </c>
    </row>
    <row r="7" ht="22" customHeight="1">
      <c r="A7" s="21" t="inlineStr">
        <is>
          <t>5-Year Average ROI</t>
        </is>
      </c>
      <c r="B7" s="25">
        <f>AVERAGE('CBA Model'!B17,'CBA Model'!C17,'CBA Model'!D17,'CBA Model'!E17,'CBA Model'!F17)</f>
        <v/>
      </c>
    </row>
    <row r="8" ht="22" customHeight="1">
      <c r="A8" s="23" t="inlineStr">
        <is>
          <t>Labor Headcount Reduction</t>
        </is>
      </c>
      <c r="B8" s="26">
        <f>Assumptions!B12-Assumptions!B23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2026-04-25T05:03:15Z</dcterms:created>
  <dcterms:modified xmlns:dcterms="http://purl.org/dc/terms/" xmlns:xsi="http://www.w3.org/2001/XMLSchema-instance" xsi:type="dcterms:W3CDTF">2026-04-25T05:03:15Z</dcterms:modified>
</cp:coreProperties>
</file>